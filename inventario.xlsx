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ntrum\Documents\"/>
    </mc:Choice>
  </mc:AlternateContent>
  <bookViews>
    <workbookView xWindow="0" yWindow="0" windowWidth="20490" windowHeight="7650"/>
  </bookViews>
  <sheets>
    <sheet name="INVENTARIO ALMACEN" sheetId="1" r:id="rId1"/>
    <sheet name="INVENTARIO REACTIV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9" i="1" l="1"/>
  <c r="C19" i="2"/>
  <c r="C17" i="2"/>
  <c r="C16" i="2"/>
  <c r="C15" i="2"/>
  <c r="C14" i="2"/>
  <c r="C12" i="2"/>
  <c r="C10" i="2"/>
  <c r="C9" i="2"/>
  <c r="C5" i="2"/>
  <c r="C20" i="2"/>
  <c r="C18" i="2"/>
  <c r="C13" i="2"/>
  <c r="C11" i="2"/>
  <c r="C8" i="2"/>
  <c r="C7" i="2"/>
  <c r="C6" i="2"/>
  <c r="C4" i="2"/>
  <c r="C3" i="2"/>
  <c r="C2" i="2"/>
  <c r="C2" i="1"/>
  <c r="D2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C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3" i="1"/>
  <c r="D4" i="1"/>
  <c r="C68" i="1"/>
  <c r="C67" i="1"/>
  <c r="C66" i="1"/>
  <c r="C65" i="1"/>
  <c r="C64" i="1"/>
  <c r="C62" i="1"/>
  <c r="C63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8" i="1"/>
  <c r="C27" i="1"/>
  <c r="C25" i="1"/>
  <c r="C24" i="1"/>
  <c r="C26" i="1"/>
  <c r="C23" i="1"/>
  <c r="C22" i="1"/>
  <c r="C21" i="1"/>
  <c r="C20" i="1"/>
  <c r="C19" i="1"/>
  <c r="C18" i="1"/>
  <c r="C17" i="1"/>
  <c r="C16" i="1"/>
  <c r="C11" i="1"/>
  <c r="C9" i="1"/>
  <c r="C15" i="1"/>
  <c r="C14" i="1"/>
  <c r="C13" i="1"/>
  <c r="C12" i="1"/>
  <c r="C10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<sst xmlns="http://schemas.openxmlformats.org/spreadsheetml/2006/main" count="276" uniqueCount="112">
  <si>
    <t>NOMBRE DEL PRODUCTO</t>
  </si>
  <si>
    <t>LOTE DEL PRODUCTO</t>
  </si>
  <si>
    <t>CANTIDAD</t>
  </si>
  <si>
    <t>PIEZAS</t>
  </si>
  <si>
    <t>FECHA DE CADUCUDAD DEL PRODUCTO</t>
  </si>
  <si>
    <t>MICROTAINER ROJO</t>
  </si>
  <si>
    <t>11/30/2019</t>
  </si>
  <si>
    <t>CANTIDAD USADA</t>
  </si>
  <si>
    <t>PIEZAS USADAS</t>
  </si>
  <si>
    <t>VACUEST LILA</t>
  </si>
  <si>
    <t>ACETONA</t>
  </si>
  <si>
    <t>ALGODÓN</t>
  </si>
  <si>
    <t>VACUTAINER AZUL</t>
  </si>
  <si>
    <t>VACUTAINER LILA</t>
  </si>
  <si>
    <t>GEL ANTIBACTERIAL</t>
  </si>
  <si>
    <t>ALCOHOL ETILICO</t>
  </si>
  <si>
    <t>AGUA OXIGENADA</t>
  </si>
  <si>
    <t>TORUNDAS</t>
  </si>
  <si>
    <t>GASA 10x10</t>
  </si>
  <si>
    <t>GASA 7.5x5</t>
  </si>
  <si>
    <t>VENDA ELASTICA</t>
  </si>
  <si>
    <t>CREATINA CINETICA</t>
  </si>
  <si>
    <t>KIT SOLUCIONES</t>
  </si>
  <si>
    <t>EASY LYTE</t>
  </si>
  <si>
    <t>EASYLYTE</t>
  </si>
  <si>
    <t>COLORANTE WRIGHT</t>
  </si>
  <si>
    <t>M-30 CFL LYSE</t>
  </si>
  <si>
    <t>PROBE CLEANSER</t>
  </si>
  <si>
    <t>PRUEBA HCV</t>
  </si>
  <si>
    <t>PRUEBA HIV</t>
  </si>
  <si>
    <t>SAFE-T-PROUNO</t>
  </si>
  <si>
    <t>SINGLE CUVETTES</t>
  </si>
  <si>
    <t>CL ANALIZERE</t>
  </si>
  <si>
    <t>SOLUCION SALINA</t>
  </si>
  <si>
    <t>COPILLAS MUESTRA</t>
  </si>
  <si>
    <t>APLICADORES C/ ALGODÓN</t>
  </si>
  <si>
    <t>CAMPOS</t>
  </si>
  <si>
    <t>DEXTROSA ANHIDRA</t>
  </si>
  <si>
    <t>BATA QUIRURGICA</t>
  </si>
  <si>
    <t>GOGLES SIN AUMENTO</t>
  </si>
  <si>
    <t>STELIRE ROHREN</t>
  </si>
  <si>
    <t>SAMPLE CUP</t>
  </si>
  <si>
    <t>JERINGA 20 ML</t>
  </si>
  <si>
    <t>JERINGA 10 ML</t>
  </si>
  <si>
    <t>JERINGA 5 ML</t>
  </si>
  <si>
    <t>EPPENDORF</t>
  </si>
  <si>
    <t>MATRAZ 1000 ML</t>
  </si>
  <si>
    <t xml:space="preserve">PIPETA 1ML </t>
  </si>
  <si>
    <t>MATRAZ 500ML</t>
  </si>
  <si>
    <t>XG0612</t>
  </si>
  <si>
    <t>3A182008</t>
  </si>
  <si>
    <t>3A262027</t>
  </si>
  <si>
    <t>3A302016</t>
  </si>
  <si>
    <t>ICR-ACT11071804</t>
  </si>
  <si>
    <t>A5260322</t>
  </si>
  <si>
    <t>3A086042</t>
  </si>
  <si>
    <t>46-22</t>
  </si>
  <si>
    <t>GJ23030362</t>
  </si>
  <si>
    <t>3F0056</t>
  </si>
  <si>
    <t>2019-006</t>
  </si>
  <si>
    <t>2014-11</t>
  </si>
  <si>
    <t>2014-06</t>
  </si>
  <si>
    <t>2023-04</t>
  </si>
  <si>
    <t>PT35021C106</t>
  </si>
  <si>
    <t>S/L</t>
  </si>
  <si>
    <t>22.01.21.1002</t>
  </si>
  <si>
    <t>20092801M</t>
  </si>
  <si>
    <t xml:space="preserve"> MATRAZ ELENMEYER 500ML</t>
  </si>
  <si>
    <t xml:space="preserve">JERINGAS 10ML </t>
  </si>
  <si>
    <t>8/31/22</t>
  </si>
  <si>
    <t>9/30/2021</t>
  </si>
  <si>
    <t>9/30/2023</t>
  </si>
  <si>
    <t>S/F</t>
  </si>
  <si>
    <t>07/112027</t>
  </si>
  <si>
    <t>3/27/2026</t>
  </si>
  <si>
    <t>9/13/2025</t>
  </si>
  <si>
    <t>4/16/2025</t>
  </si>
  <si>
    <t>2/28/2025</t>
  </si>
  <si>
    <t>04/17/2024</t>
  </si>
  <si>
    <t>4/22/2026</t>
  </si>
  <si>
    <t>4/15/2026</t>
  </si>
  <si>
    <t>7/14/2025</t>
  </si>
  <si>
    <t>10/29/2024</t>
  </si>
  <si>
    <t>12/01/202</t>
  </si>
  <si>
    <t>5/31/2024</t>
  </si>
  <si>
    <t>1/31/2030</t>
  </si>
  <si>
    <t>3/31/2021</t>
  </si>
  <si>
    <t>08/01/20227</t>
  </si>
  <si>
    <t>LOTE</t>
  </si>
  <si>
    <t>CAJAS</t>
  </si>
  <si>
    <t>FECHA CADUCIDAD</t>
  </si>
  <si>
    <t>COLESTEROL</t>
  </si>
  <si>
    <t>AC. URICO</t>
  </si>
  <si>
    <t>BILIRRUBINA DIRECTA</t>
  </si>
  <si>
    <t>BILIRRUBINA TOTAL</t>
  </si>
  <si>
    <t>ALT</t>
  </si>
  <si>
    <t>HDL</t>
  </si>
  <si>
    <t>AST</t>
  </si>
  <si>
    <t>GLUCOSA</t>
  </si>
  <si>
    <t>UREA</t>
  </si>
  <si>
    <t>CALIBRADOR PLUS</t>
  </si>
  <si>
    <t>URICONTROL</t>
  </si>
  <si>
    <t>CONTROL MATO</t>
  </si>
  <si>
    <t>TRINICHECK CONTROL 1</t>
  </si>
  <si>
    <t>TRINICHECK CONTROL 2</t>
  </si>
  <si>
    <t>E.S</t>
  </si>
  <si>
    <t>CAJAS EN USO</t>
  </si>
  <si>
    <t>09/10/206</t>
  </si>
  <si>
    <t>U132402</t>
  </si>
  <si>
    <t>B0826</t>
  </si>
  <si>
    <t>T087582</t>
  </si>
  <si>
    <t>12/062026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</si>
</sst>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workbookViewId="0">
      <selection activeCell="A70" sqref="A70"/>
    </sheetView>
  </sheetViews>
  <sheetFormatPr baseColWidth="10" defaultRowHeight="15" x14ac:dyDescent="0.25"/>
  <cols>
    <col min="1" max="1" width="27.7109375" bestFit="1" customWidth="1"/>
    <col min="2" max="2" width="19.28515625" bestFit="1" customWidth="1"/>
    <col min="5" max="5" width="35.5703125" bestFit="1" customWidth="1"/>
    <col min="7" max="7" width="23" bestFit="1" customWidth="1"/>
    <col min="8" max="8" width="19.28515625" bestFit="1" customWidth="1"/>
    <col min="9" max="9" width="17" bestFit="1" customWidth="1"/>
    <col min="10" max="10" width="14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0</v>
      </c>
      <c r="H1" s="2" t="s">
        <v>1</v>
      </c>
      <c r="I1" s="2" t="s">
        <v>7</v>
      </c>
      <c r="J1" s="2" t="s">
        <v>8</v>
      </c>
    </row>
    <row r="2" spans="1:10" x14ac:dyDescent="0.25">
      <c r="A2" s="3" t="s">
        <v>5</v>
      </c>
      <c r="B2" s="3">
        <v>8155792</v>
      </c>
      <c r="C2" s="3">
        <f>4-SUMIF(H:H,B2,I:I)</f>
        <v>4</v>
      </c>
      <c r="D2" s="3">
        <f>200-SUMIF(G:G:CA42,J:J)</f>
        <v>200</v>
      </c>
      <c r="E2" s="3" t="s">
        <v>6</v>
      </c>
      <c r="G2" s="3" t="s">
        <v>5</v>
      </c>
      <c r="H2" s="3">
        <v>8155792</v>
      </c>
      <c r="I2" s="3">
        <v>0</v>
      </c>
      <c r="J2">
        <v>0</v>
      </c>
    </row>
    <row r="3" spans="1:10" x14ac:dyDescent="0.25">
      <c r="A3" s="3" t="s">
        <v>5</v>
      </c>
      <c r="B3" s="3">
        <v>1064110</v>
      </c>
      <c r="C3" s="3">
        <f xml:space="preserve"> 3-SUMIF(H:H,B3,I:I)</f>
        <v>3</v>
      </c>
      <c r="D3" s="3">
        <f>150-SUMIF(G:G:CA43,J:J)</f>
        <v>150</v>
      </c>
      <c r="E3" s="3" t="s">
        <v>69</v>
      </c>
      <c r="G3" s="3" t="s">
        <v>5</v>
      </c>
      <c r="H3" s="3">
        <v>1064110</v>
      </c>
      <c r="I3" s="3">
        <v>0</v>
      </c>
    </row>
    <row r="4" spans="1:10" x14ac:dyDescent="0.25">
      <c r="A4" s="3" t="s">
        <v>5</v>
      </c>
      <c r="B4" s="3">
        <v>90462</v>
      </c>
      <c r="C4" s="3">
        <f>1-SUMIF(H:H,B4,I:I)</f>
        <v>1</v>
      </c>
      <c r="D4" s="3">
        <f>50-SUMIF(G:G:CA44,J:J)</f>
        <v>50</v>
      </c>
      <c r="E4" s="3" t="s">
        <v>70</v>
      </c>
      <c r="G4" s="3" t="s">
        <v>5</v>
      </c>
      <c r="H4" s="3">
        <v>90462</v>
      </c>
      <c r="I4" s="3"/>
    </row>
    <row r="5" spans="1:10" x14ac:dyDescent="0.25">
      <c r="A5" s="3" t="s">
        <v>9</v>
      </c>
      <c r="B5" s="3" t="s">
        <v>49</v>
      </c>
      <c r="C5" s="3">
        <f>1-SUMIF(H:H,B5,I:I)</f>
        <v>1</v>
      </c>
      <c r="D5" s="3">
        <f>100-SUMIF(G:G:CA45,J:J)</f>
        <v>100</v>
      </c>
      <c r="E5" s="3" t="s">
        <v>71</v>
      </c>
      <c r="G5" s="3" t="s">
        <v>9</v>
      </c>
      <c r="H5" s="3" t="s">
        <v>49</v>
      </c>
      <c r="I5" s="3"/>
    </row>
    <row r="6" spans="1:10" x14ac:dyDescent="0.25">
      <c r="A6" s="3" t="s">
        <v>12</v>
      </c>
      <c r="B6" s="3">
        <v>6076307</v>
      </c>
      <c r="C6" s="3">
        <f>1-SUMIF(H:H,B6,I:I)</f>
        <v>1</v>
      </c>
      <c r="D6" s="3">
        <f>89-SUMIF(G:G:CA46,J:J)</f>
        <v>89</v>
      </c>
      <c r="E6" s="5">
        <v>46387</v>
      </c>
      <c r="G6" s="3" t="s">
        <v>12</v>
      </c>
      <c r="H6" s="3">
        <v>6076307</v>
      </c>
      <c r="I6" s="3"/>
    </row>
    <row r="7" spans="1:10" x14ac:dyDescent="0.25">
      <c r="A7" s="3" t="s">
        <v>12</v>
      </c>
      <c r="B7" s="3">
        <v>6013662</v>
      </c>
      <c r="C7" s="3">
        <f>1-SUMIF(H:H,B7,I:I)</f>
        <v>1</v>
      </c>
      <c r="D7" s="3">
        <f>100-SUMIF(G:G:CA47,J:J)</f>
        <v>100</v>
      </c>
      <c r="E7" s="5">
        <v>46234</v>
      </c>
      <c r="G7" s="3" t="s">
        <v>12</v>
      </c>
      <c r="H7" s="3">
        <v>6013662</v>
      </c>
      <c r="I7" s="3"/>
    </row>
    <row r="8" spans="1:10" x14ac:dyDescent="0.25">
      <c r="A8" s="3" t="s">
        <v>13</v>
      </c>
      <c r="B8" s="3">
        <v>6076626</v>
      </c>
      <c r="C8" s="3">
        <f>1-SUMIF(H:H,B8,I:I)</f>
        <v>1</v>
      </c>
      <c r="D8" s="3">
        <f>76-SUMIF(G:G:CA48,J:J)</f>
        <v>76</v>
      </c>
      <c r="E8" s="5">
        <v>46234</v>
      </c>
      <c r="G8" s="3" t="s">
        <v>13</v>
      </c>
      <c r="H8" s="3">
        <v>6076626</v>
      </c>
      <c r="I8" s="3"/>
    </row>
    <row r="9" spans="1:10" x14ac:dyDescent="0.25">
      <c r="A9" s="3" t="s">
        <v>14</v>
      </c>
      <c r="B9" s="3" t="s">
        <v>50</v>
      </c>
      <c r="C9" s="3">
        <f>2-SUMIF(H:H,B9,I:I)</f>
        <v>2</v>
      </c>
      <c r="D9" s="3">
        <f>2-SUMIF(G:G:CA49,J:J)</f>
        <v>2</v>
      </c>
      <c r="E9" s="5">
        <v>46478</v>
      </c>
      <c r="G9" s="3" t="s">
        <v>14</v>
      </c>
      <c r="H9" s="3" t="s">
        <v>50</v>
      </c>
      <c r="I9" s="3"/>
    </row>
    <row r="10" spans="1:10" x14ac:dyDescent="0.25">
      <c r="A10" s="3" t="s">
        <v>15</v>
      </c>
      <c r="B10" s="3" t="s">
        <v>51</v>
      </c>
      <c r="C10" s="3">
        <f>1-SUMIF(H:H,B10,I:I)</f>
        <v>1</v>
      </c>
      <c r="D10" s="3">
        <f>1-SUMIF(G:G:CA50,J:J)</f>
        <v>1</v>
      </c>
      <c r="E10" s="5">
        <v>46539</v>
      </c>
      <c r="G10" s="3" t="s">
        <v>15</v>
      </c>
      <c r="H10" s="3" t="s">
        <v>51</v>
      </c>
      <c r="I10" s="3"/>
    </row>
    <row r="11" spans="1:10" x14ac:dyDescent="0.25">
      <c r="A11" s="3" t="s">
        <v>15</v>
      </c>
      <c r="B11" s="3" t="s">
        <v>52</v>
      </c>
      <c r="C11" s="3">
        <f>2-SUMIF(H:H,B11,I:I)</f>
        <v>2</v>
      </c>
      <c r="D11" s="3">
        <f>1-SUMIF(G:G:CA51,J:J)</f>
        <v>1</v>
      </c>
      <c r="E11" s="5">
        <v>46572</v>
      </c>
      <c r="G11" s="3" t="s">
        <v>15</v>
      </c>
      <c r="H11" s="3" t="s">
        <v>52</v>
      </c>
      <c r="I11" s="3"/>
    </row>
    <row r="12" spans="1:10" x14ac:dyDescent="0.25">
      <c r="A12" s="3" t="s">
        <v>10</v>
      </c>
      <c r="B12" s="3" t="s">
        <v>53</v>
      </c>
      <c r="C12" s="3">
        <f>1-SUMIF(H:H,B12,I:I)</f>
        <v>1</v>
      </c>
      <c r="D12" s="3">
        <f>1-SUMIF(G:G:CA52,J:J)</f>
        <v>1</v>
      </c>
      <c r="E12" s="5">
        <v>44507</v>
      </c>
      <c r="G12" s="3" t="s">
        <v>10</v>
      </c>
      <c r="H12" s="3" t="s">
        <v>53</v>
      </c>
      <c r="I12" s="3"/>
    </row>
    <row r="13" spans="1:10" x14ac:dyDescent="0.25">
      <c r="A13" s="3" t="s">
        <v>11</v>
      </c>
      <c r="B13" s="3" t="s">
        <v>54</v>
      </c>
      <c r="C13" s="3">
        <f>1-SUMIF(H:H,B13,I:I)</f>
        <v>1</v>
      </c>
      <c r="D13" s="3">
        <f>1-SUMIF(G:G:CA53,J:J)</f>
        <v>1</v>
      </c>
      <c r="E13" s="5">
        <v>46388</v>
      </c>
      <c r="G13" s="3" t="s">
        <v>11</v>
      </c>
      <c r="H13" s="3" t="s">
        <v>54</v>
      </c>
      <c r="I13" s="3"/>
    </row>
    <row r="14" spans="1:10" x14ac:dyDescent="0.25">
      <c r="A14" s="3" t="s">
        <v>16</v>
      </c>
      <c r="B14" s="3" t="s">
        <v>55</v>
      </c>
      <c r="C14" s="3">
        <f>1-SUMIF(H:H,B14,I:I)</f>
        <v>1</v>
      </c>
      <c r="D14" s="3">
        <f>1-SUMIF(G:G:CA54,J:J)</f>
        <v>1</v>
      </c>
      <c r="E14" s="5">
        <v>11355</v>
      </c>
      <c r="G14" s="3" t="s">
        <v>16</v>
      </c>
      <c r="H14" s="3" t="s">
        <v>55</v>
      </c>
      <c r="I14" s="3"/>
    </row>
    <row r="15" spans="1:10" x14ac:dyDescent="0.25">
      <c r="A15" s="3" t="s">
        <v>17</v>
      </c>
      <c r="B15" s="3" t="s">
        <v>56</v>
      </c>
      <c r="C15" s="3">
        <f>2-SUMIF(H:H,B15,I:I)</f>
        <v>2</v>
      </c>
      <c r="D15" s="3">
        <f>2-SUMIF(G:G:CA55,J:J)</f>
        <v>2</v>
      </c>
      <c r="E15" s="5">
        <v>46700</v>
      </c>
      <c r="G15" s="3" t="s">
        <v>17</v>
      </c>
      <c r="H15" s="3" t="s">
        <v>56</v>
      </c>
      <c r="I15" s="3"/>
    </row>
    <row r="16" spans="1:10" x14ac:dyDescent="0.25">
      <c r="A16" s="3" t="s">
        <v>18</v>
      </c>
      <c r="B16" s="3">
        <v>655301026</v>
      </c>
      <c r="C16" s="3">
        <f>2-SUMIF(H:H,B16,I:I)</f>
        <v>2</v>
      </c>
      <c r="D16" s="3">
        <f>2-SUMIF(G:G:CA56,J:J)</f>
        <v>2</v>
      </c>
      <c r="E16" s="5">
        <v>47908</v>
      </c>
      <c r="G16" s="3" t="s">
        <v>18</v>
      </c>
      <c r="H16" s="3">
        <v>655301026</v>
      </c>
      <c r="I16" s="3"/>
    </row>
    <row r="17" spans="1:9" x14ac:dyDescent="0.25">
      <c r="A17" s="3" t="s">
        <v>19</v>
      </c>
      <c r="B17" s="4">
        <v>41122</v>
      </c>
      <c r="C17" s="3">
        <f>3-SUMIF(H:H,B17,I:I)</f>
        <v>3</v>
      </c>
      <c r="D17" s="3">
        <f>3-SUMIF(G:G:CA57,J:J)</f>
        <v>3</v>
      </c>
      <c r="E17" s="5">
        <v>47512</v>
      </c>
      <c r="G17" s="3" t="s">
        <v>19</v>
      </c>
      <c r="H17" s="4">
        <v>41122</v>
      </c>
      <c r="I17" s="3"/>
    </row>
    <row r="18" spans="1:9" x14ac:dyDescent="0.25">
      <c r="A18" s="3" t="s">
        <v>13</v>
      </c>
      <c r="B18" s="3">
        <v>4102753</v>
      </c>
      <c r="C18" s="3">
        <f>5-SUMIF(H:H,B18,I:I)</f>
        <v>5</v>
      </c>
      <c r="D18" s="3">
        <f>100-SUMIF(G:G:CA58,J:J)</f>
        <v>100</v>
      </c>
      <c r="E18" s="5">
        <v>45900</v>
      </c>
      <c r="G18" s="3" t="s">
        <v>13</v>
      </c>
      <c r="H18" s="3">
        <v>4102753</v>
      </c>
      <c r="I18" s="3"/>
    </row>
    <row r="19" spans="1:9" x14ac:dyDescent="0.25">
      <c r="A19" s="3" t="s">
        <v>20</v>
      </c>
      <c r="B19" s="3">
        <v>10318</v>
      </c>
      <c r="C19" s="3">
        <f>1-SUMIF(H:H,B19,I:I)</f>
        <v>1</v>
      </c>
      <c r="D19" s="3">
        <f>1-SUMIF(G:G:CA59,J:J)</f>
        <v>1</v>
      </c>
      <c r="E19" s="3" t="s">
        <v>72</v>
      </c>
      <c r="G19" s="3" t="s">
        <v>20</v>
      </c>
      <c r="H19" s="3">
        <v>10318</v>
      </c>
      <c r="I19" s="3"/>
    </row>
    <row r="20" spans="1:9" x14ac:dyDescent="0.25">
      <c r="A20" s="3" t="s">
        <v>21</v>
      </c>
      <c r="B20" s="3">
        <v>2509657870</v>
      </c>
      <c r="C20" s="3">
        <f>1-SUMIF(H:H,B20,I:I)</f>
        <v>1</v>
      </c>
      <c r="D20" s="3">
        <f>1-SUMIF(G:G:CA60,J:J)</f>
        <v>1</v>
      </c>
      <c r="E20" s="3" t="s">
        <v>72</v>
      </c>
      <c r="G20" s="3" t="s">
        <v>21</v>
      </c>
      <c r="H20" s="3">
        <v>2509657870</v>
      </c>
      <c r="I20" s="3"/>
    </row>
    <row r="21" spans="1:9" x14ac:dyDescent="0.25">
      <c r="A21" s="3" t="s">
        <v>22</v>
      </c>
      <c r="B21" s="3">
        <v>24314</v>
      </c>
      <c r="C21" s="3">
        <f>1-SUMIF(H:H,B21,I:I)</f>
        <v>1</v>
      </c>
      <c r="D21" s="3">
        <f>1-SUMIF(G:G:CA61,J:J)</f>
        <v>1</v>
      </c>
      <c r="E21" s="3" t="s">
        <v>73</v>
      </c>
      <c r="G21" s="3" t="s">
        <v>22</v>
      </c>
      <c r="H21" s="3">
        <v>24314</v>
      </c>
      <c r="I21" s="3"/>
    </row>
    <row r="22" spans="1:9" x14ac:dyDescent="0.25">
      <c r="A22" s="3" t="s">
        <v>22</v>
      </c>
      <c r="B22" s="3">
        <v>24089</v>
      </c>
      <c r="C22" s="3">
        <f>1-SUMIF(H:H,B22,I:I)</f>
        <v>1</v>
      </c>
      <c r="D22" s="3">
        <f>1-SUMIF(G:G:CA62,J:J)</f>
        <v>1</v>
      </c>
      <c r="E22" s="3" t="s">
        <v>74</v>
      </c>
      <c r="G22" s="3" t="s">
        <v>22</v>
      </c>
      <c r="H22" s="3">
        <v>24089</v>
      </c>
      <c r="I22" s="3"/>
    </row>
    <row r="23" spans="1:9" x14ac:dyDescent="0.25">
      <c r="A23" s="3" t="s">
        <v>22</v>
      </c>
      <c r="B23" s="3">
        <v>23261</v>
      </c>
      <c r="C23" s="3">
        <f>1-SUMIF(H:H,B23,I:I)</f>
        <v>1</v>
      </c>
      <c r="D23" s="3">
        <f>1-SUMIF(G:G:CA63,J:J)</f>
        <v>1</v>
      </c>
      <c r="E23" s="3" t="s">
        <v>75</v>
      </c>
      <c r="G23" s="3" t="s">
        <v>22</v>
      </c>
      <c r="H23" s="3">
        <v>23261</v>
      </c>
      <c r="I23" s="3"/>
    </row>
    <row r="24" spans="1:9" x14ac:dyDescent="0.25">
      <c r="A24" s="3" t="s">
        <v>23</v>
      </c>
      <c r="B24" s="3">
        <v>23291</v>
      </c>
      <c r="C24" s="3">
        <f>1-SUMIF(H:H,B24,I:I)</f>
        <v>1</v>
      </c>
      <c r="D24" s="3">
        <f>1-SUMIF(G:G:CA64,J:J)</f>
        <v>1</v>
      </c>
      <c r="E24" s="3" t="s">
        <v>76</v>
      </c>
      <c r="G24" s="3" t="s">
        <v>23</v>
      </c>
      <c r="H24" s="3">
        <v>23291</v>
      </c>
      <c r="I24" s="3"/>
    </row>
    <row r="25" spans="1:9" x14ac:dyDescent="0.25">
      <c r="A25" s="3" t="s">
        <v>24</v>
      </c>
      <c r="B25" s="3">
        <v>24193</v>
      </c>
      <c r="C25" s="3">
        <f>1-SUMIF(H:H,B25,I:I)</f>
        <v>1</v>
      </c>
      <c r="D25" s="3">
        <f>1-SUMIF(G:G:CA65,J:J)</f>
        <v>1</v>
      </c>
      <c r="E25" s="5">
        <v>46023</v>
      </c>
      <c r="G25" s="3" t="s">
        <v>24</v>
      </c>
      <c r="H25" s="3">
        <v>24193</v>
      </c>
      <c r="I25" s="3"/>
    </row>
    <row r="26" spans="1:9" x14ac:dyDescent="0.25">
      <c r="A26" s="3" t="s">
        <v>23</v>
      </c>
      <c r="B26" s="3">
        <v>23248</v>
      </c>
      <c r="C26" s="3">
        <f>2-SUMIF(H:H,B26,I:I)</f>
        <v>2</v>
      </c>
      <c r="D26" s="3">
        <f>2-SUMIF(G:G:CA66,J:J)</f>
        <v>2</v>
      </c>
      <c r="E26" s="3" t="s">
        <v>77</v>
      </c>
      <c r="G26" s="3" t="s">
        <v>23</v>
      </c>
      <c r="H26" s="3">
        <v>23248</v>
      </c>
      <c r="I26" s="3"/>
    </row>
    <row r="27" spans="1:9" x14ac:dyDescent="0.25">
      <c r="A27" s="3" t="s">
        <v>23</v>
      </c>
      <c r="B27" s="3">
        <v>22293</v>
      </c>
      <c r="C27" s="3">
        <f>2-SUMIF(H:H,B27,I:I)</f>
        <v>2</v>
      </c>
      <c r="D27" s="3">
        <f>2-SUMIF(G:G:CA67,J:J)</f>
        <v>2</v>
      </c>
      <c r="E27" s="3" t="s">
        <v>78</v>
      </c>
      <c r="G27" s="3" t="s">
        <v>23</v>
      </c>
      <c r="H27" s="3">
        <v>22293</v>
      </c>
      <c r="I27" s="3"/>
    </row>
    <row r="28" spans="1:9" x14ac:dyDescent="0.25">
      <c r="A28" s="3" t="s">
        <v>23</v>
      </c>
      <c r="B28" s="3">
        <v>25073</v>
      </c>
      <c r="C28" s="3">
        <f>1-SUMIF(H:H,B28,I:I)</f>
        <v>1</v>
      </c>
      <c r="D28" s="3">
        <f>1-SUMIF(G:G:CA68,J:J)</f>
        <v>1</v>
      </c>
      <c r="E28" s="3" t="s">
        <v>79</v>
      </c>
      <c r="G28" s="3" t="s">
        <v>23</v>
      </c>
      <c r="H28" s="3">
        <v>25073</v>
      </c>
      <c r="I28" s="3"/>
    </row>
    <row r="29" spans="1:9" x14ac:dyDescent="0.25">
      <c r="A29" s="3" t="s">
        <v>23</v>
      </c>
      <c r="B29" s="3">
        <v>22217</v>
      </c>
      <c r="C29" s="3">
        <f>2-SUMIF(H:H,B29,I:I)</f>
        <v>2</v>
      </c>
      <c r="D29" s="3">
        <f>2-SUMIF(G:G:CA69,J:J)</f>
        <v>2</v>
      </c>
      <c r="E29" s="5">
        <v>45150</v>
      </c>
      <c r="G29" s="3" t="s">
        <v>23</v>
      </c>
      <c r="H29" s="3">
        <v>22217</v>
      </c>
      <c r="I29" s="3"/>
    </row>
    <row r="30" spans="1:9" x14ac:dyDescent="0.25">
      <c r="A30" s="3" t="s">
        <v>23</v>
      </c>
      <c r="B30" s="3">
        <v>25223</v>
      </c>
      <c r="C30" s="3">
        <f>1-SUMIF(H:H,B30,I:I)</f>
        <v>1</v>
      </c>
      <c r="D30" s="3">
        <f>1-SUMIF(G:G:CA70,J:J)</f>
        <v>1</v>
      </c>
      <c r="E30" s="5">
        <v>46388</v>
      </c>
      <c r="G30" s="3" t="s">
        <v>23</v>
      </c>
      <c r="H30" s="3">
        <v>25223</v>
      </c>
      <c r="I30" s="3"/>
    </row>
    <row r="31" spans="1:9" x14ac:dyDescent="0.25">
      <c r="A31" s="3" t="s">
        <v>23</v>
      </c>
      <c r="B31" s="3">
        <v>25015</v>
      </c>
      <c r="C31" s="3">
        <f>1-SUMIF(H:H,B31,I:I)</f>
        <v>1</v>
      </c>
      <c r="D31" s="3">
        <f>1-SUMIF(G:G:CA71,J:J)</f>
        <v>1</v>
      </c>
      <c r="E31" s="5">
        <v>46108</v>
      </c>
      <c r="G31" s="3" t="s">
        <v>23</v>
      </c>
      <c r="H31" s="3">
        <v>25015</v>
      </c>
      <c r="I31" s="3"/>
    </row>
    <row r="32" spans="1:9" x14ac:dyDescent="0.25">
      <c r="A32" s="3" t="s">
        <v>23</v>
      </c>
      <c r="B32" s="3">
        <v>25322</v>
      </c>
      <c r="C32" s="3">
        <f>1-SUMIF(H:H,B32,I:I)</f>
        <v>1</v>
      </c>
      <c r="D32" s="3">
        <f>1-SUMIF(G:G:CA72,J:J)</f>
        <v>1</v>
      </c>
      <c r="E32" s="5">
        <v>46542</v>
      </c>
      <c r="G32" s="3" t="s">
        <v>23</v>
      </c>
      <c r="H32" s="3">
        <v>25322</v>
      </c>
      <c r="I32" s="3"/>
    </row>
    <row r="33" spans="1:9" x14ac:dyDescent="0.25">
      <c r="A33" s="3" t="s">
        <v>22</v>
      </c>
      <c r="B33" s="3">
        <v>23160</v>
      </c>
      <c r="C33" s="3">
        <f>1-SUMIF(H:H,B33,I:I)</f>
        <v>1</v>
      </c>
      <c r="D33" s="3">
        <f>1-SUMIF(G:G:CA73,J:J)</f>
        <v>1</v>
      </c>
      <c r="E33" s="5">
        <v>45844</v>
      </c>
      <c r="G33" s="3" t="s">
        <v>22</v>
      </c>
      <c r="H33" s="3">
        <v>23160</v>
      </c>
      <c r="I33" s="3"/>
    </row>
    <row r="34" spans="1:9" x14ac:dyDescent="0.25">
      <c r="A34" s="3" t="s">
        <v>25</v>
      </c>
      <c r="B34" s="3">
        <v>113336</v>
      </c>
      <c r="C34" s="3">
        <f>1-SUMIF(H:H,B34,I:I)</f>
        <v>1</v>
      </c>
      <c r="D34" s="3">
        <f>1-SUMIF(G:G:CA74,J:J)</f>
        <v>1</v>
      </c>
      <c r="E34" s="5">
        <v>38722</v>
      </c>
      <c r="G34" s="3" t="s">
        <v>25</v>
      </c>
      <c r="H34" s="3">
        <v>113336</v>
      </c>
      <c r="I34" s="3"/>
    </row>
    <row r="35" spans="1:9" x14ac:dyDescent="0.25">
      <c r="A35" s="3" t="s">
        <v>25</v>
      </c>
      <c r="B35" s="3">
        <v>347374</v>
      </c>
      <c r="C35" s="3">
        <f>1-SUMIF(H:H,B35,I:I)</f>
        <v>1</v>
      </c>
      <c r="D35" s="3">
        <f>1-SUMIF(G:G:CA75,J:J)</f>
        <v>1</v>
      </c>
      <c r="E35" s="5">
        <v>42741</v>
      </c>
      <c r="G35" s="3" t="s">
        <v>25</v>
      </c>
      <c r="H35" s="3">
        <v>347374</v>
      </c>
      <c r="I35" s="3"/>
    </row>
    <row r="36" spans="1:9" x14ac:dyDescent="0.25">
      <c r="A36" s="3" t="s">
        <v>25</v>
      </c>
      <c r="B36" s="3">
        <v>3122110</v>
      </c>
      <c r="C36" s="3">
        <f>1-SUMIF(H:H,B36,I:I)</f>
        <v>1</v>
      </c>
      <c r="D36" s="3">
        <f>1-SUMIF(G:G:CA76,J:J)</f>
        <v>1</v>
      </c>
      <c r="E36" s="3" t="s">
        <v>72</v>
      </c>
      <c r="G36" s="3" t="s">
        <v>25</v>
      </c>
      <c r="H36" s="3">
        <v>3122110</v>
      </c>
      <c r="I36" s="3"/>
    </row>
    <row r="37" spans="1:9" x14ac:dyDescent="0.25">
      <c r="A37" s="3" t="s">
        <v>26</v>
      </c>
      <c r="B37" s="3">
        <v>2024041611</v>
      </c>
      <c r="C37" s="3">
        <f>1-SUMIF(H:H,B37,I:I)</f>
        <v>1</v>
      </c>
      <c r="D37" s="3">
        <f>1-SUMIF(G:G:CA77,J:J)</f>
        <v>1</v>
      </c>
      <c r="E37" s="3" t="s">
        <v>80</v>
      </c>
      <c r="G37" s="3" t="s">
        <v>26</v>
      </c>
      <c r="H37" s="3">
        <v>2024041611</v>
      </c>
      <c r="I37" s="3"/>
    </row>
    <row r="38" spans="1:9" x14ac:dyDescent="0.25">
      <c r="A38" s="3" t="s">
        <v>27</v>
      </c>
      <c r="B38" s="3">
        <v>202411551</v>
      </c>
      <c r="C38" s="3">
        <f>2-SUMIF(H:H,B38,I:I)</f>
        <v>2</v>
      </c>
      <c r="D38" s="3">
        <f>3-SUMIF(G:G:CA78,J:J)</f>
        <v>3</v>
      </c>
      <c r="E38" s="3" t="s">
        <v>81</v>
      </c>
      <c r="G38" s="3" t="s">
        <v>27</v>
      </c>
      <c r="H38" s="3">
        <v>202411551</v>
      </c>
      <c r="I38" s="3"/>
    </row>
    <row r="39" spans="1:9" x14ac:dyDescent="0.25">
      <c r="A39" s="3" t="s">
        <v>27</v>
      </c>
      <c r="B39" s="3">
        <v>2025120451</v>
      </c>
      <c r="C39" s="3">
        <f>1-SUMIF(H:H,B39,I:I)</f>
        <v>1</v>
      </c>
      <c r="D39" s="3">
        <f>1-SUMIF(G:G:CA79,J:J)</f>
        <v>1</v>
      </c>
      <c r="E39" s="5">
        <v>46541</v>
      </c>
      <c r="G39" s="3" t="s">
        <v>27</v>
      </c>
      <c r="H39" s="3">
        <v>2025120451</v>
      </c>
      <c r="I39" s="3"/>
    </row>
    <row r="40" spans="1:9" x14ac:dyDescent="0.25">
      <c r="A40" s="3" t="s">
        <v>27</v>
      </c>
      <c r="B40" s="3">
        <v>2025011051</v>
      </c>
      <c r="C40" s="3">
        <f>2-SUMIF(H:H,B40,I:I)</f>
        <v>2</v>
      </c>
      <c r="D40" s="3">
        <f>2-SUMIF(G:G:CA80,J:J)</f>
        <v>2</v>
      </c>
      <c r="E40" s="5">
        <v>46272</v>
      </c>
      <c r="G40" s="3" t="s">
        <v>27</v>
      </c>
      <c r="H40" s="3">
        <v>2025011051</v>
      </c>
      <c r="I40" s="3"/>
    </row>
    <row r="41" spans="1:9" x14ac:dyDescent="0.25">
      <c r="A41" s="3" t="s">
        <v>28</v>
      </c>
      <c r="B41" s="3" t="s">
        <v>57</v>
      </c>
      <c r="C41" s="3">
        <f>1-SUMIF(H:H,B41,I:I)</f>
        <v>1</v>
      </c>
      <c r="D41" s="3">
        <f>34-SUMIF(G:G:CA81,J:J)</f>
        <v>34</v>
      </c>
      <c r="E41" s="5">
        <v>45660</v>
      </c>
      <c r="G41" s="3" t="s">
        <v>28</v>
      </c>
      <c r="H41" s="3" t="s">
        <v>57</v>
      </c>
      <c r="I41" s="3"/>
    </row>
    <row r="42" spans="1:9" x14ac:dyDescent="0.25">
      <c r="A42" s="3" t="s">
        <v>29</v>
      </c>
      <c r="B42" s="3" t="s">
        <v>58</v>
      </c>
      <c r="C42" s="3">
        <f>1-SUMIF(H:H,B42,I:I)</f>
        <v>1</v>
      </c>
      <c r="D42" s="3">
        <f>7-SUMIF(G:G:CA82,J:J)</f>
        <v>7</v>
      </c>
      <c r="E42" s="3" t="s">
        <v>82</v>
      </c>
      <c r="G42" s="3" t="s">
        <v>29</v>
      </c>
      <c r="H42" s="3" t="s">
        <v>58</v>
      </c>
      <c r="I42" s="3"/>
    </row>
    <row r="43" spans="1:9" x14ac:dyDescent="0.25">
      <c r="A43" s="3" t="s">
        <v>30</v>
      </c>
      <c r="B43" s="3">
        <v>42522307</v>
      </c>
      <c r="C43" s="3">
        <f>1-SUMIF(H:H,B43,I:I)</f>
        <v>1</v>
      </c>
      <c r="D43" s="3">
        <f>8-SUMIF(G:G:CA83,J:J)</f>
        <v>8</v>
      </c>
      <c r="E43" s="5">
        <v>46028</v>
      </c>
      <c r="G43" s="3" t="s">
        <v>30</v>
      </c>
      <c r="H43" s="3">
        <v>42522307</v>
      </c>
      <c r="I43" s="3"/>
    </row>
    <row r="44" spans="1:9" x14ac:dyDescent="0.25">
      <c r="A44" s="3" t="s">
        <v>31</v>
      </c>
      <c r="B44" s="3">
        <v>240812</v>
      </c>
      <c r="C44" s="3">
        <f>1-SUMIF(H:H,B44,I:I)</f>
        <v>1</v>
      </c>
      <c r="D44" s="3">
        <f>500-SUMIF(G:G:CA84,J:J)</f>
        <v>500</v>
      </c>
      <c r="E44" s="3" t="s">
        <v>72</v>
      </c>
      <c r="G44" s="3" t="s">
        <v>31</v>
      </c>
      <c r="H44" s="3">
        <v>240812</v>
      </c>
      <c r="I44" s="3"/>
    </row>
    <row r="45" spans="1:9" x14ac:dyDescent="0.25">
      <c r="A45" s="3" t="s">
        <v>32</v>
      </c>
      <c r="B45" s="3" t="s">
        <v>59</v>
      </c>
      <c r="C45" s="3">
        <f>10-SUMIF(H:H,B45,I:I)</f>
        <v>10</v>
      </c>
      <c r="D45" s="3">
        <f>10-SUMIF(G:G:CA85,J:J)</f>
        <v>10</v>
      </c>
      <c r="E45" s="3" t="s">
        <v>72</v>
      </c>
      <c r="G45" s="3" t="s">
        <v>32</v>
      </c>
      <c r="H45" s="3" t="s">
        <v>59</v>
      </c>
      <c r="I45" s="3"/>
    </row>
    <row r="46" spans="1:9" x14ac:dyDescent="0.25">
      <c r="A46" s="3" t="s">
        <v>32</v>
      </c>
      <c r="B46" s="3" t="s">
        <v>60</v>
      </c>
      <c r="C46" s="3">
        <f>10-SUMIF(H:H,B46,I:I)</f>
        <v>10</v>
      </c>
      <c r="D46" s="3">
        <f>10-SUMIF(G:G:CA86,J:J)</f>
        <v>10</v>
      </c>
      <c r="E46" s="3" t="s">
        <v>72</v>
      </c>
      <c r="G46" s="3" t="s">
        <v>32</v>
      </c>
      <c r="H46" s="3" t="s">
        <v>60</v>
      </c>
      <c r="I46" s="3"/>
    </row>
    <row r="47" spans="1:9" x14ac:dyDescent="0.25">
      <c r="A47" s="3" t="s">
        <v>32</v>
      </c>
      <c r="B47" s="3" t="s">
        <v>61</v>
      </c>
      <c r="C47" s="3">
        <f>10-SUMIF(H:H,B47,I:I)</f>
        <v>10</v>
      </c>
      <c r="D47" s="3">
        <f>10-SUMIF(G:G:CA87,J:J)</f>
        <v>10</v>
      </c>
      <c r="E47" s="3" t="s">
        <v>72</v>
      </c>
      <c r="G47" s="3" t="s">
        <v>32</v>
      </c>
      <c r="H47" s="3" t="s">
        <v>61</v>
      </c>
      <c r="I47" s="3"/>
    </row>
    <row r="48" spans="1:9" x14ac:dyDescent="0.25">
      <c r="A48" s="3" t="s">
        <v>33</v>
      </c>
      <c r="B48" s="3">
        <v>901102</v>
      </c>
      <c r="C48" s="3">
        <f>1-SUMIF(H:H,B48,I:I)</f>
        <v>1</v>
      </c>
      <c r="D48" s="3">
        <f>7-SUMIF(G:G:CA88,J:J)</f>
        <v>7</v>
      </c>
      <c r="E48" s="3" t="s">
        <v>83</v>
      </c>
      <c r="G48" s="3" t="s">
        <v>33</v>
      </c>
      <c r="H48" s="3">
        <v>901102</v>
      </c>
      <c r="I48" s="3"/>
    </row>
    <row r="49" spans="1:9" x14ac:dyDescent="0.25">
      <c r="A49" s="3" t="s">
        <v>34</v>
      </c>
      <c r="B49" s="3">
        <v>19153175</v>
      </c>
      <c r="C49" s="3">
        <f>10-SUMIF(H:H,B49,I:I)</f>
        <v>10</v>
      </c>
      <c r="D49" s="3">
        <f>2500-SUMIF(G:G:CA89,J:J)</f>
        <v>2500</v>
      </c>
      <c r="E49" s="3" t="s">
        <v>84</v>
      </c>
      <c r="G49" s="3" t="s">
        <v>34</v>
      </c>
      <c r="H49" s="3">
        <v>19153175</v>
      </c>
      <c r="I49" s="3"/>
    </row>
    <row r="50" spans="1:9" x14ac:dyDescent="0.25">
      <c r="A50" s="3" t="s">
        <v>35</v>
      </c>
      <c r="B50" s="3" t="s">
        <v>62</v>
      </c>
      <c r="C50" s="3">
        <f>1-SUMIF(H:H,B50,I:I)</f>
        <v>1</v>
      </c>
      <c r="D50" s="3">
        <f>150-SUMIF(G:G:CA90,J:J)</f>
        <v>150</v>
      </c>
      <c r="E50" s="3" t="s">
        <v>72</v>
      </c>
      <c r="G50" s="3" t="s">
        <v>35</v>
      </c>
      <c r="H50" s="3" t="s">
        <v>62</v>
      </c>
      <c r="I50" s="3"/>
    </row>
    <row r="51" spans="1:9" x14ac:dyDescent="0.25">
      <c r="A51" s="3" t="s">
        <v>36</v>
      </c>
      <c r="B51" s="3" t="s">
        <v>63</v>
      </c>
      <c r="C51" s="3">
        <f>1-SUMIF(H:H,B51,I:I)</f>
        <v>1</v>
      </c>
      <c r="D51" s="3">
        <f>88-SUMIF(G:G:CA91,J:J)</f>
        <v>88</v>
      </c>
      <c r="E51" s="5">
        <v>46033</v>
      </c>
      <c r="G51" s="3" t="s">
        <v>36</v>
      </c>
      <c r="H51" s="3" t="s">
        <v>63</v>
      </c>
      <c r="I51" s="3"/>
    </row>
    <row r="52" spans="1:9" x14ac:dyDescent="0.25">
      <c r="A52" s="3" t="s">
        <v>37</v>
      </c>
      <c r="B52" s="3">
        <v>1107259</v>
      </c>
      <c r="C52" s="3">
        <f>1-SUMIF(H:H,B52,I:I)</f>
        <v>1</v>
      </c>
      <c r="D52" s="3">
        <f>21-SUMIF(G:G:CA92,J:J)</f>
        <v>21</v>
      </c>
      <c r="E52" s="3" t="s">
        <v>72</v>
      </c>
      <c r="G52" s="3" t="s">
        <v>37</v>
      </c>
      <c r="H52" s="3">
        <v>1107259</v>
      </c>
      <c r="I52" s="3"/>
    </row>
    <row r="53" spans="1:9" x14ac:dyDescent="0.25">
      <c r="A53" s="3" t="s">
        <v>38</v>
      </c>
      <c r="B53" s="3">
        <v>19115010701</v>
      </c>
      <c r="C53" s="3">
        <f>1-SUMIF(H:H,B53,I:I)</f>
        <v>1</v>
      </c>
      <c r="D53" s="3">
        <f>1-SUMIF(G:G:CA93,J:J)</f>
        <v>1</v>
      </c>
      <c r="E53" s="5">
        <v>45296</v>
      </c>
      <c r="G53" s="3" t="s">
        <v>38</v>
      </c>
      <c r="H53" s="3">
        <v>19115010701</v>
      </c>
      <c r="I53" s="3"/>
    </row>
    <row r="54" spans="1:9" x14ac:dyDescent="0.25">
      <c r="A54" s="3" t="s">
        <v>39</v>
      </c>
      <c r="B54" s="3">
        <v>6</v>
      </c>
      <c r="C54" s="3">
        <f>2-SUMIF(H:H,B54,I:I)</f>
        <v>2</v>
      </c>
      <c r="D54" s="3">
        <f>2-SUMIF(G:G:CA94,J:J)</f>
        <v>2</v>
      </c>
      <c r="E54" s="3" t="s">
        <v>85</v>
      </c>
      <c r="G54" s="3" t="s">
        <v>39</v>
      </c>
      <c r="H54" s="3">
        <v>6</v>
      </c>
      <c r="I54" s="3"/>
    </row>
    <row r="55" spans="1:9" x14ac:dyDescent="0.25">
      <c r="A55" s="3" t="s">
        <v>39</v>
      </c>
      <c r="B55" s="3" t="s">
        <v>64</v>
      </c>
      <c r="C55" s="3">
        <f>5-SUMIF(H:H,B55,I:I)</f>
        <v>5</v>
      </c>
      <c r="D55" s="3">
        <f>5-SUMIF(G:G:CA95,J:J)</f>
        <v>5</v>
      </c>
      <c r="E55" s="3" t="s">
        <v>72</v>
      </c>
      <c r="G55" s="3" t="s">
        <v>39</v>
      </c>
      <c r="H55" s="3" t="s">
        <v>64</v>
      </c>
      <c r="I55" s="3"/>
    </row>
    <row r="56" spans="1:9" x14ac:dyDescent="0.25">
      <c r="A56" s="3" t="s">
        <v>38</v>
      </c>
      <c r="B56" s="3" t="s">
        <v>65</v>
      </c>
      <c r="C56" s="3">
        <f>3-SUMIF(H:H,B56,I:I)</f>
        <v>3</v>
      </c>
      <c r="D56" s="3">
        <f>3-SUMIF(G:G:CA96,J:J)</f>
        <v>3</v>
      </c>
      <c r="E56" s="5">
        <v>45231</v>
      </c>
      <c r="G56" s="3" t="s">
        <v>38</v>
      </c>
      <c r="H56" s="3" t="s">
        <v>65</v>
      </c>
      <c r="I56" s="3"/>
    </row>
    <row r="57" spans="1:9" x14ac:dyDescent="0.25">
      <c r="A57" s="3" t="s">
        <v>40</v>
      </c>
      <c r="B57" s="3">
        <v>8281411</v>
      </c>
      <c r="C57" s="3">
        <f>16-SUMIF(H:H,B57,I:I)</f>
        <v>16</v>
      </c>
      <c r="D57" s="3">
        <f>1440-SUMIF(G:G:CA97,J:J)</f>
        <v>1440</v>
      </c>
      <c r="E57" s="3" t="s">
        <v>86</v>
      </c>
      <c r="G57" s="3" t="s">
        <v>40</v>
      </c>
      <c r="H57" s="3">
        <v>8281411</v>
      </c>
      <c r="I57" s="3"/>
    </row>
    <row r="58" spans="1:9" x14ac:dyDescent="0.25">
      <c r="A58" s="3" t="s">
        <v>41</v>
      </c>
      <c r="B58" s="3">
        <v>20058175</v>
      </c>
      <c r="C58" s="3">
        <f>5-SUMIF(H:H,B58,I:I)</f>
        <v>5</v>
      </c>
      <c r="D58" s="3">
        <f>1250-SUMIF(G:G:CA98,J:J)</f>
        <v>1250</v>
      </c>
      <c r="E58" s="3" t="s">
        <v>77</v>
      </c>
      <c r="G58" s="3" t="s">
        <v>41</v>
      </c>
      <c r="H58" s="3">
        <v>20058175</v>
      </c>
      <c r="I58" s="3"/>
    </row>
    <row r="59" spans="1:9" x14ac:dyDescent="0.25">
      <c r="A59" s="3" t="s">
        <v>42</v>
      </c>
      <c r="B59" s="3">
        <v>220619</v>
      </c>
      <c r="C59" s="3">
        <f>2-SUMIF(H:H,B59,I:I)</f>
        <v>2</v>
      </c>
      <c r="D59" s="3">
        <f>66-SUMIF(G:G:CA99,J:J)</f>
        <v>66</v>
      </c>
      <c r="E59" s="5">
        <v>46393</v>
      </c>
      <c r="G59" s="3" t="s">
        <v>42</v>
      </c>
      <c r="H59" s="3">
        <v>220619</v>
      </c>
      <c r="I59" s="3"/>
    </row>
    <row r="60" spans="1:9" x14ac:dyDescent="0.25">
      <c r="A60" s="3" t="s">
        <v>43</v>
      </c>
      <c r="B60" s="3">
        <v>220804</v>
      </c>
      <c r="C60" s="3">
        <f>1-SUMIF(H:H,B60,I:I)</f>
        <v>1</v>
      </c>
      <c r="D60" s="3">
        <f>50-SUMIF(G:G:CA100,J:J)</f>
        <v>50</v>
      </c>
      <c r="E60" s="3" t="s">
        <v>87</v>
      </c>
      <c r="G60" s="3" t="s">
        <v>43</v>
      </c>
      <c r="H60" s="3">
        <v>220804</v>
      </c>
      <c r="I60" s="3"/>
    </row>
    <row r="61" spans="1:9" x14ac:dyDescent="0.25">
      <c r="A61" s="3" t="s">
        <v>44</v>
      </c>
      <c r="B61" s="3">
        <v>210737</v>
      </c>
      <c r="C61" s="3">
        <f>2-SUMIF(H:H,B61,I:I)</f>
        <v>2</v>
      </c>
      <c r="D61" s="3">
        <f>168-SUMIF(G:G:CA101,J:J)</f>
        <v>168</v>
      </c>
      <c r="E61" s="5">
        <v>46394</v>
      </c>
      <c r="G61" s="3" t="s">
        <v>44</v>
      </c>
      <c r="H61" s="3">
        <v>210737</v>
      </c>
      <c r="I61" s="3"/>
    </row>
    <row r="62" spans="1:9" x14ac:dyDescent="0.25">
      <c r="A62" s="3" t="s">
        <v>38</v>
      </c>
      <c r="B62" s="3" t="s">
        <v>66</v>
      </c>
      <c r="C62" s="3">
        <f>41-SUMIF(H:H,B62,I:I)</f>
        <v>41</v>
      </c>
      <c r="D62" s="3">
        <f>41-SUMIF(G:G:CA102,J:J)</f>
        <v>41</v>
      </c>
      <c r="E62" s="5">
        <v>44569</v>
      </c>
      <c r="G62" s="3" t="s">
        <v>38</v>
      </c>
      <c r="H62" s="3" t="s">
        <v>66</v>
      </c>
      <c r="I62" s="3"/>
    </row>
    <row r="63" spans="1:9" x14ac:dyDescent="0.25">
      <c r="A63" s="3" t="s">
        <v>45</v>
      </c>
      <c r="B63" s="3" t="s">
        <v>64</v>
      </c>
      <c r="C63" s="3">
        <f>3-SUMIF(H:H,B63,I:I)</f>
        <v>3</v>
      </c>
      <c r="D63" s="3">
        <f>3-SUMIF(G:G:CA103,J:J)</f>
        <v>3</v>
      </c>
      <c r="E63" s="3" t="s">
        <v>72</v>
      </c>
      <c r="G63" s="3" t="s">
        <v>45</v>
      </c>
      <c r="H63" s="3" t="s">
        <v>64</v>
      </c>
      <c r="I63" s="3"/>
    </row>
    <row r="64" spans="1:9" x14ac:dyDescent="0.25">
      <c r="A64" s="3" t="s">
        <v>38</v>
      </c>
      <c r="B64" s="3">
        <v>1001211001</v>
      </c>
      <c r="C64" s="3">
        <f>52-SUMIF(H:H,B64,I:I)</f>
        <v>52</v>
      </c>
      <c r="D64" s="3">
        <f>52-SUMIF(G:G:CA104,J:J)</f>
        <v>52</v>
      </c>
      <c r="E64" s="5">
        <v>45231</v>
      </c>
      <c r="G64" s="3" t="s">
        <v>38</v>
      </c>
      <c r="H64" s="3">
        <v>1001211001</v>
      </c>
      <c r="I64" s="3"/>
    </row>
    <row r="65" spans="1:9" x14ac:dyDescent="0.25">
      <c r="A65" s="3" t="s">
        <v>46</v>
      </c>
      <c r="B65" s="3">
        <v>20209</v>
      </c>
      <c r="C65" s="3">
        <f>3-SUMIF(H:H,B65,I:I)</f>
        <v>3</v>
      </c>
      <c r="D65" s="3">
        <f>3-SUMIF(G:G:CA105,J:J)</f>
        <v>3</v>
      </c>
      <c r="E65" s="3" t="s">
        <v>72</v>
      </c>
      <c r="G65" s="3" t="s">
        <v>46</v>
      </c>
      <c r="H65" s="3">
        <v>20209</v>
      </c>
      <c r="I65" s="3"/>
    </row>
    <row r="66" spans="1:9" x14ac:dyDescent="0.25">
      <c r="A66" s="3" t="s">
        <v>47</v>
      </c>
      <c r="B66" s="3" t="s">
        <v>64</v>
      </c>
      <c r="C66" s="3">
        <f>24-SUMIF(H:H,B66,I:I)</f>
        <v>24</v>
      </c>
      <c r="D66" s="3">
        <f>24-SUMIF(G:G:CA106,J:J)</f>
        <v>24</v>
      </c>
      <c r="E66" s="3" t="s">
        <v>72</v>
      </c>
      <c r="G66" s="3" t="s">
        <v>47</v>
      </c>
      <c r="H66" s="3" t="s">
        <v>64</v>
      </c>
      <c r="I66" s="3"/>
    </row>
    <row r="67" spans="1:9" x14ac:dyDescent="0.25">
      <c r="A67" s="3" t="s">
        <v>48</v>
      </c>
      <c r="B67" s="3">
        <v>20208</v>
      </c>
      <c r="C67" s="3">
        <f>8-SUMIF(H:H,B67,I:I)</f>
        <v>8</v>
      </c>
      <c r="D67" s="3">
        <f>8-SUMIF(G:G:CA107,J:J)</f>
        <v>8</v>
      </c>
      <c r="E67" s="3" t="s">
        <v>72</v>
      </c>
      <c r="G67" s="3" t="s">
        <v>48</v>
      </c>
      <c r="H67" s="3">
        <v>20208</v>
      </c>
      <c r="I67" s="3"/>
    </row>
    <row r="68" spans="1:9" x14ac:dyDescent="0.25">
      <c r="A68" s="3" t="s">
        <v>67</v>
      </c>
      <c r="B68" s="3" t="s">
        <v>64</v>
      </c>
      <c r="C68" s="3">
        <f>5-SUMIF(H:H,B68,I:I)</f>
        <v>5</v>
      </c>
      <c r="D68" s="3">
        <f>5-SUMIF(G:G:CA108,J:J)</f>
        <v>5</v>
      </c>
      <c r="E68" s="3" t="s">
        <v>72</v>
      </c>
      <c r="G68" s="3" t="s">
        <v>67</v>
      </c>
      <c r="H68" s="3" t="s">
        <v>64</v>
      </c>
      <c r="I68" s="3"/>
    </row>
    <row r="69" spans="1:9" x14ac:dyDescent="0.25">
      <c r="A69" s="3" t="s">
        <v>68</v>
      </c>
      <c r="B69" s="3">
        <v>220747</v>
      </c>
      <c r="C69" s="3">
        <f>1-SUMIF(H:H,B69,I:I)</f>
        <v>1</v>
      </c>
      <c r="D69" s="3">
        <f>8-SUMIF(G:G:CA109,J:J)</f>
        <v>8</v>
      </c>
      <c r="E69" s="3" t="s">
        <v>72</v>
      </c>
      <c r="G69" s="3" t="s">
        <v>68</v>
      </c>
      <c r="H69" s="3">
        <v>220747</v>
      </c>
      <c r="I69" s="3"/>
    </row>
    <row r="70" spans="1:9" x14ac:dyDescent="0.25">
      <c r="A70" s="3"/>
    </row>
  </sheetData>
  <conditionalFormatting sqref="C2:C69">
    <cfRule type="cellIs" dxfId="2" priority="2" operator="equal">
      <formula>0</formula>
    </cfRule>
  </conditionalFormatting>
  <conditionalFormatting sqref="D2:D69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A21" sqref="A21"/>
    </sheetView>
  </sheetViews>
  <sheetFormatPr baseColWidth="10" defaultRowHeight="15" x14ac:dyDescent="0.25"/>
  <cols>
    <col min="1" max="1" width="23" bestFit="1" customWidth="1"/>
    <col min="2" max="2" width="12" bestFit="1" customWidth="1"/>
    <col min="4" max="4" width="17.85546875" bestFit="1" customWidth="1"/>
    <col min="8" max="8" width="23" bestFit="1" customWidth="1"/>
    <col min="10" max="10" width="13.42578125" bestFit="1" customWidth="1"/>
    <col min="11" max="11" width="20.5703125" bestFit="1" customWidth="1"/>
  </cols>
  <sheetData>
    <row r="1" spans="1:11" x14ac:dyDescent="0.25">
      <c r="A1" s="6" t="s">
        <v>0</v>
      </c>
      <c r="B1" s="6" t="s">
        <v>88</v>
      </c>
      <c r="C1" s="6" t="s">
        <v>89</v>
      </c>
      <c r="D1" s="6" t="s">
        <v>90</v>
      </c>
      <c r="H1" s="7" t="s">
        <v>0</v>
      </c>
      <c r="I1" s="7" t="s">
        <v>88</v>
      </c>
      <c r="J1" s="7" t="s">
        <v>106</v>
      </c>
      <c r="K1" s="8"/>
    </row>
    <row r="2" spans="1:11" x14ac:dyDescent="0.25">
      <c r="A2" s="3" t="s">
        <v>91</v>
      </c>
      <c r="B2" s="3">
        <v>2512668500</v>
      </c>
      <c r="C2" s="3">
        <f>2-SUMIF(I:I,B2,J:J)</f>
        <v>2</v>
      </c>
      <c r="D2" s="5">
        <v>46185</v>
      </c>
      <c r="H2" s="3" t="s">
        <v>91</v>
      </c>
      <c r="I2" s="3">
        <v>2512668500</v>
      </c>
      <c r="J2">
        <v>0</v>
      </c>
    </row>
    <row r="3" spans="1:11" x14ac:dyDescent="0.25">
      <c r="A3" s="3" t="s">
        <v>91</v>
      </c>
      <c r="B3" s="3">
        <v>2512668500</v>
      </c>
      <c r="C3" s="3">
        <f t="shared" ref="C3:C20" si="0">2-SUMIF(I:I,B3,J:J)</f>
        <v>2</v>
      </c>
      <c r="D3" s="5">
        <v>46212</v>
      </c>
      <c r="H3" s="3" t="s">
        <v>91</v>
      </c>
      <c r="I3" s="3">
        <v>2512668500</v>
      </c>
    </row>
    <row r="4" spans="1:11" x14ac:dyDescent="0.25">
      <c r="A4" s="3" t="s">
        <v>92</v>
      </c>
      <c r="B4" s="3">
        <v>2508655140</v>
      </c>
      <c r="C4" s="3">
        <f t="shared" si="0"/>
        <v>2</v>
      </c>
      <c r="D4" s="5">
        <v>46212</v>
      </c>
      <c r="H4" s="3" t="s">
        <v>92</v>
      </c>
      <c r="I4" s="3">
        <v>2508655140</v>
      </c>
    </row>
    <row r="5" spans="1:11" x14ac:dyDescent="0.25">
      <c r="A5" s="3" t="s">
        <v>93</v>
      </c>
      <c r="B5" s="3">
        <v>2504637960</v>
      </c>
      <c r="C5" s="3">
        <f>1-SUMIF(I:I,B5,J:J)</f>
        <v>1</v>
      </c>
      <c r="D5" s="5">
        <v>45968</v>
      </c>
      <c r="H5" s="3" t="s">
        <v>93</v>
      </c>
      <c r="I5" s="3">
        <v>2504637960</v>
      </c>
    </row>
    <row r="6" spans="1:11" x14ac:dyDescent="0.25">
      <c r="A6" s="3" t="s">
        <v>94</v>
      </c>
      <c r="B6" s="3">
        <v>2504637960</v>
      </c>
      <c r="C6" s="3">
        <f t="shared" si="0"/>
        <v>2</v>
      </c>
      <c r="D6" s="4">
        <v>45536</v>
      </c>
      <c r="H6" s="3" t="s">
        <v>94</v>
      </c>
      <c r="I6" s="3">
        <v>2504637960</v>
      </c>
    </row>
    <row r="7" spans="1:11" x14ac:dyDescent="0.25">
      <c r="A7" s="3" t="s">
        <v>95</v>
      </c>
      <c r="B7" s="3">
        <v>1762360</v>
      </c>
      <c r="C7" s="3">
        <f t="shared" si="0"/>
        <v>2</v>
      </c>
      <c r="D7" s="5">
        <v>46031</v>
      </c>
      <c r="H7" s="3" t="s">
        <v>95</v>
      </c>
      <c r="I7" s="3">
        <v>1762360</v>
      </c>
    </row>
    <row r="8" spans="1:11" x14ac:dyDescent="0.25">
      <c r="A8" s="3" t="s">
        <v>97</v>
      </c>
      <c r="B8" s="3">
        <v>17522360</v>
      </c>
      <c r="C8" s="3">
        <f t="shared" si="0"/>
        <v>2</v>
      </c>
      <c r="D8" s="4">
        <v>46419</v>
      </c>
      <c r="H8" s="3" t="s">
        <v>97</v>
      </c>
      <c r="I8" s="3">
        <v>17522360</v>
      </c>
    </row>
    <row r="9" spans="1:11" x14ac:dyDescent="0.25">
      <c r="A9" s="3" t="s">
        <v>96</v>
      </c>
      <c r="B9" s="3">
        <v>2508652300</v>
      </c>
      <c r="C9" s="3">
        <f>1-SUMIF(I:I,B9,J:J)</f>
        <v>1</v>
      </c>
      <c r="D9" s="4">
        <v>46023</v>
      </c>
      <c r="H9" s="3" t="s">
        <v>96</v>
      </c>
      <c r="I9" s="3">
        <v>2508652300</v>
      </c>
    </row>
    <row r="10" spans="1:11" x14ac:dyDescent="0.25">
      <c r="A10" s="3" t="s">
        <v>96</v>
      </c>
      <c r="B10" s="3">
        <v>2408606590</v>
      </c>
      <c r="C10" s="3">
        <f>1-SUMIF(I:I,B10,J:J)</f>
        <v>1</v>
      </c>
      <c r="D10" s="4">
        <v>46174</v>
      </c>
      <c r="H10" s="3" t="s">
        <v>96</v>
      </c>
      <c r="I10" s="3">
        <v>2408606590</v>
      </c>
    </row>
    <row r="11" spans="1:11" x14ac:dyDescent="0.25">
      <c r="A11" s="3" t="s">
        <v>98</v>
      </c>
      <c r="B11" s="3">
        <v>25106661740</v>
      </c>
      <c r="C11" s="3">
        <f t="shared" si="0"/>
        <v>2</v>
      </c>
      <c r="D11" s="4">
        <v>46478</v>
      </c>
      <c r="H11" s="3" t="s">
        <v>98</v>
      </c>
      <c r="I11" s="3">
        <v>25106661740</v>
      </c>
    </row>
    <row r="12" spans="1:11" x14ac:dyDescent="0.25">
      <c r="A12" s="3" t="s">
        <v>98</v>
      </c>
      <c r="B12" s="3">
        <v>2411619790</v>
      </c>
      <c r="C12" s="3">
        <f>1-SUMIF(I:I,B12,J:J)</f>
        <v>1</v>
      </c>
      <c r="D12" s="4">
        <v>46143</v>
      </c>
      <c r="H12" s="3" t="s">
        <v>98</v>
      </c>
      <c r="I12" s="3">
        <v>2411619790</v>
      </c>
    </row>
    <row r="13" spans="1:11" x14ac:dyDescent="0.25">
      <c r="A13" s="3" t="s">
        <v>99</v>
      </c>
      <c r="B13" s="3">
        <v>2412622350</v>
      </c>
      <c r="C13" s="3">
        <f t="shared" si="0"/>
        <v>2</v>
      </c>
      <c r="D13" s="4">
        <v>46174</v>
      </c>
      <c r="H13" s="3" t="s">
        <v>99</v>
      </c>
      <c r="I13" s="3">
        <v>2412622350</v>
      </c>
    </row>
    <row r="14" spans="1:11" x14ac:dyDescent="0.25">
      <c r="A14" s="3" t="s">
        <v>100</v>
      </c>
      <c r="B14" s="3">
        <v>2508655960</v>
      </c>
      <c r="C14" s="3">
        <f>4-SUMIF(I:I,B14,J:J)</f>
        <v>4</v>
      </c>
      <c r="D14" s="3" t="s">
        <v>107</v>
      </c>
      <c r="H14" s="3" t="s">
        <v>100</v>
      </c>
      <c r="I14" s="3">
        <v>2508655960</v>
      </c>
    </row>
    <row r="15" spans="1:11" x14ac:dyDescent="0.25">
      <c r="A15" s="3" t="s">
        <v>100</v>
      </c>
      <c r="B15" s="3">
        <v>24116177201</v>
      </c>
      <c r="C15" s="3">
        <f>1-SUMIF(I:I,B15,J:J)</f>
        <v>1</v>
      </c>
      <c r="D15" s="5">
        <v>46185</v>
      </c>
      <c r="H15" s="3" t="s">
        <v>100</v>
      </c>
      <c r="I15" s="3">
        <v>24116177201</v>
      </c>
    </row>
    <row r="16" spans="1:11" x14ac:dyDescent="0.25">
      <c r="A16" s="3" t="s">
        <v>101</v>
      </c>
      <c r="B16" s="3" t="s">
        <v>108</v>
      </c>
      <c r="C16" s="3">
        <f>4-SUMIF(I:I,B16,J:J)</f>
        <v>4</v>
      </c>
      <c r="D16" s="5">
        <v>46026</v>
      </c>
      <c r="H16" s="3" t="s">
        <v>101</v>
      </c>
      <c r="I16" s="3" t="s">
        <v>108</v>
      </c>
    </row>
    <row r="17" spans="1:9" x14ac:dyDescent="0.25">
      <c r="A17" s="3" t="s">
        <v>102</v>
      </c>
      <c r="B17" s="3" t="s">
        <v>109</v>
      </c>
      <c r="C17" s="3">
        <f>1-SUMIF(I:I,B17,J:J)</f>
        <v>1</v>
      </c>
      <c r="D17" s="5">
        <v>46259</v>
      </c>
      <c r="H17" s="3" t="s">
        <v>102</v>
      </c>
      <c r="I17" s="3" t="s">
        <v>109</v>
      </c>
    </row>
    <row r="18" spans="1:9" x14ac:dyDescent="0.25">
      <c r="A18" s="3" t="s">
        <v>103</v>
      </c>
      <c r="B18" s="3" t="s">
        <v>110</v>
      </c>
      <c r="C18" s="3">
        <f t="shared" si="0"/>
        <v>2</v>
      </c>
      <c r="D18" s="3" t="s">
        <v>111</v>
      </c>
      <c r="H18" s="3" t="s">
        <v>103</v>
      </c>
      <c r="I18" s="3" t="s">
        <v>110</v>
      </c>
    </row>
    <row r="19" spans="1:9" x14ac:dyDescent="0.25">
      <c r="A19" s="3" t="s">
        <v>104</v>
      </c>
      <c r="B19" s="3">
        <v>5304595</v>
      </c>
      <c r="C19" s="3">
        <f t="shared" si="0"/>
        <v>2</v>
      </c>
      <c r="D19" s="5">
        <v>46259</v>
      </c>
      <c r="H19" s="3" t="s">
        <v>104</v>
      </c>
      <c r="I19" s="3">
        <v>5304595</v>
      </c>
    </row>
    <row r="20" spans="1:9" x14ac:dyDescent="0.25">
      <c r="A20" s="3" t="s">
        <v>105</v>
      </c>
      <c r="B20" s="3">
        <v>324270</v>
      </c>
      <c r="C20" s="3">
        <f t="shared" si="0"/>
        <v>2</v>
      </c>
      <c r="D20" s="5">
        <v>46318</v>
      </c>
      <c r="H20" s="3" t="s">
        <v>105</v>
      </c>
      <c r="I20" s="3">
        <v>324270</v>
      </c>
    </row>
  </sheetData>
  <conditionalFormatting sqref="C2:C20">
    <cfRule type="cellIs" dxfId="3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ALMACEN</vt:lpstr>
      <vt:lpstr>INVENTARIO REACTIVOS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Centrum</dc:creator>
  <cp:lastModifiedBy>Centrum</cp:lastModifiedBy>
  <dcterms:created xsi:type="dcterms:W3CDTF">2026-09-30T15:15:38Z</dcterms:created>
  <dcterms:modified xsi:type="dcterms:W3CDTF">2026-09-30T18:52:31Z</dcterms:modified>
</cp:coreProperties>
</file>